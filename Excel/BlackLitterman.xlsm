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RIP\CreditAnalytics\Excel\"/>
    </mc:Choice>
  </mc:AlternateContent>
  <bookViews>
    <workbookView xWindow="0" yWindow="0" windowWidth="24000" windowHeight="9735"/>
  </bookViews>
  <sheets>
    <sheet name="Bridge" sheetId="1" r:id="rId1"/>
  </sheets>
  <functionGroups builtInGroupCount="18"/>
  <definedNames>
    <definedName name="HOSTNAME" localSheetId="0">Bridge!$C$2</definedName>
    <definedName name="JSON_REQUEST">Bridge!#REF!</definedName>
    <definedName name="JSON_RESPONSE" localSheetId="0">Bridge!#REF!</definedName>
    <definedName name="PORTNUMBER" localSheetId="0">Bridge!$C$3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" i="1" l="1"/>
  <c r="P18" i="1"/>
  <c r="P17" i="1"/>
  <c r="P16" i="1"/>
  <c r="P15" i="1"/>
  <c r="P14" i="1"/>
  <c r="B21" i="1"/>
  <c r="Q14" i="1" a="1"/>
  <c r="R14" i="1" a="1"/>
  <c r="B14" i="1" a="1"/>
  <c r="S14" i="1" a="1"/>
  <c r="I14" i="1" a="1"/>
  <c r="S17" i="1" l="1"/>
  <c r="S19" i="1"/>
  <c r="S14" i="1"/>
  <c r="S16" i="1"/>
  <c r="S18" i="1"/>
  <c r="S15" i="1"/>
  <c r="R18" i="1"/>
  <c r="R15" i="1"/>
  <c r="R17" i="1"/>
  <c r="R19" i="1"/>
  <c r="R14" i="1"/>
  <c r="R16" i="1"/>
  <c r="Q17" i="1"/>
  <c r="Q19" i="1"/>
  <c r="Q14" i="1"/>
  <c r="Q16" i="1"/>
  <c r="Q18" i="1"/>
  <c r="Q15" i="1"/>
  <c r="N15" i="1"/>
  <c r="L18" i="1"/>
  <c r="M14" i="1"/>
  <c r="K17" i="1"/>
  <c r="J14" i="1"/>
  <c r="N16" i="1"/>
  <c r="L19" i="1"/>
  <c r="K16" i="1"/>
  <c r="I19" i="1"/>
  <c r="L16" i="1"/>
  <c r="J19" i="1"/>
  <c r="K15" i="1"/>
  <c r="I18" i="1"/>
  <c r="N14" i="1"/>
  <c r="L17" i="1"/>
  <c r="K14" i="1"/>
  <c r="I17" i="1"/>
  <c r="M19" i="1"/>
  <c r="L14" i="1"/>
  <c r="J17" i="1"/>
  <c r="N19" i="1"/>
  <c r="I16" i="1"/>
  <c r="M18" i="1"/>
  <c r="L15" i="1"/>
  <c r="J18" i="1"/>
  <c r="I15" i="1"/>
  <c r="M17" i="1"/>
  <c r="J15" i="1"/>
  <c r="N17" i="1"/>
  <c r="I14" i="1"/>
  <c r="M16" i="1"/>
  <c r="K19" i="1"/>
  <c r="J16" i="1"/>
  <c r="N18" i="1"/>
  <c r="M15" i="1"/>
  <c r="K18" i="1"/>
  <c r="G15" i="1"/>
  <c r="E18" i="1"/>
  <c r="F14" i="1"/>
  <c r="D17" i="1"/>
  <c r="C14" i="1"/>
  <c r="G16" i="1"/>
  <c r="E19" i="1"/>
  <c r="D16" i="1"/>
  <c r="B19" i="1"/>
  <c r="E16" i="1"/>
  <c r="C19" i="1"/>
  <c r="D15" i="1"/>
  <c r="B18" i="1"/>
  <c r="G14" i="1"/>
  <c r="E17" i="1"/>
  <c r="D14" i="1"/>
  <c r="B17" i="1"/>
  <c r="F19" i="1"/>
  <c r="E14" i="1"/>
  <c r="C17" i="1"/>
  <c r="G19" i="1"/>
  <c r="B16" i="1"/>
  <c r="F18" i="1"/>
  <c r="E15" i="1"/>
  <c r="C18" i="1"/>
  <c r="B15" i="1"/>
  <c r="F17" i="1"/>
  <c r="C15" i="1"/>
  <c r="G17" i="1"/>
  <c r="B14" i="1"/>
  <c r="F16" i="1"/>
  <c r="D19" i="1"/>
  <c r="D18" i="1"/>
  <c r="C16" i="1"/>
  <c r="G18" i="1"/>
  <c r="F15" i="1"/>
</calcChain>
</file>

<file path=xl/sharedStrings.xml><?xml version="1.0" encoding="utf-8"?>
<sst xmlns="http://schemas.openxmlformats.org/spreadsheetml/2006/main" count="25" uniqueCount="24">
  <si>
    <t>Port</t>
  </si>
  <si>
    <t>HostName</t>
  </si>
  <si>
    <t>127.0.0.1</t>
  </si>
  <si>
    <t>Tau</t>
  </si>
  <si>
    <t>Delta</t>
  </si>
  <si>
    <t>RiskFreeRate</t>
  </si>
  <si>
    <t>ScopingExcessReturnsCovariance</t>
  </si>
  <si>
    <t>Parameters</t>
  </si>
  <si>
    <t>A</t>
  </si>
  <si>
    <t>B</t>
  </si>
  <si>
    <t>C</t>
  </si>
  <si>
    <t>D</t>
  </si>
  <si>
    <t>E</t>
  </si>
  <si>
    <t>F</t>
  </si>
  <si>
    <t>Asset</t>
  </si>
  <si>
    <t>Equilibrium Weight</t>
  </si>
  <si>
    <t>View Portfolio Weights</t>
  </si>
  <si>
    <t>View Espected Returns</t>
  </si>
  <si>
    <t>Joint Excess Return Co-variance</t>
  </si>
  <si>
    <t>Posterior Excess Returns Co-variance</t>
  </si>
  <si>
    <t>Prior Returns</t>
  </si>
  <si>
    <t>Asset Returns</t>
  </si>
  <si>
    <t>Posterior Returns</t>
  </si>
  <si>
    <t>View Co-variance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</si>
</sst>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%"/>
    <numFmt numFmtId="165" formatCode="0.000000"/>
    <numFmt numFmtId="166" formatCode="0.0_);[Red]\(0.0\)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times"/>
    </font>
    <font>
      <b/>
      <sz val="11"/>
      <color theme="1"/>
      <name val="Calibri"/>
      <family val="2"/>
      <scheme val="minor"/>
    </font>
    <font>
      <b/>
      <sz val="10"/>
      <color theme="1"/>
      <name val="times"/>
    </font>
    <font>
      <b/>
      <sz val="10"/>
      <color rgb="FFFF0000"/>
      <name val="times"/>
    </font>
    <font>
      <b/>
      <sz val="10"/>
      <name val="times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39994506668294322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4" fontId="1" fillId="6" borderId="6" xfId="0" applyNumberFormat="1" applyFont="1" applyFill="1" applyBorder="1" applyAlignment="1">
      <alignment horizontal="center" vertical="center"/>
    </xf>
    <xf numFmtId="10" fontId="1" fillId="6" borderId="4" xfId="0" applyNumberFormat="1" applyFont="1" applyFill="1" applyBorder="1" applyAlignment="1">
      <alignment horizontal="center" vertical="center"/>
    </xf>
    <xf numFmtId="4" fontId="1" fillId="2" borderId="6" xfId="0" applyNumberFormat="1" applyFont="1" applyFill="1" applyBorder="1" applyAlignment="1">
      <alignment horizontal="center" vertical="center"/>
    </xf>
    <xf numFmtId="165" fontId="1" fillId="6" borderId="0" xfId="0" applyNumberFormat="1" applyFont="1" applyFill="1" applyBorder="1" applyAlignment="1">
      <alignment horizontal="center" vertical="center"/>
    </xf>
    <xf numFmtId="165" fontId="1" fillId="6" borderId="14" xfId="0" applyNumberFormat="1" applyFont="1" applyFill="1" applyBorder="1" applyAlignment="1">
      <alignment horizontal="center" vertical="center"/>
    </xf>
    <xf numFmtId="165" fontId="1" fillId="2" borderId="0" xfId="0" applyNumberFormat="1" applyFont="1" applyFill="1" applyBorder="1" applyAlignment="1">
      <alignment horizontal="center" vertical="center"/>
    </xf>
    <xf numFmtId="165" fontId="1" fillId="2" borderId="14" xfId="0" applyNumberFormat="1" applyFont="1" applyFill="1" applyBorder="1" applyAlignment="1">
      <alignment horizontal="center" vertical="center"/>
    </xf>
    <xf numFmtId="164" fontId="1" fillId="2" borderId="10" xfId="0" applyNumberFormat="1" applyFont="1" applyFill="1" applyBorder="1" applyAlignment="1">
      <alignment horizontal="center" vertical="center"/>
    </xf>
    <xf numFmtId="165" fontId="1" fillId="2" borderId="12" xfId="0" applyNumberFormat="1" applyFont="1" applyFill="1" applyBorder="1" applyAlignment="1">
      <alignment horizontal="center" vertical="center"/>
    </xf>
    <xf numFmtId="165" fontId="1" fillId="2" borderId="15" xfId="0" applyNumberFormat="1" applyFont="1" applyFill="1" applyBorder="1" applyAlignment="1">
      <alignment horizontal="center" vertical="center"/>
    </xf>
    <xf numFmtId="166" fontId="1" fillId="6" borderId="9" xfId="0" applyNumberFormat="1" applyFont="1" applyFill="1" applyBorder="1" applyAlignment="1">
      <alignment horizontal="center" vertical="center"/>
    </xf>
    <xf numFmtId="166" fontId="1" fillId="6" borderId="0" xfId="0" applyNumberFormat="1" applyFont="1" applyFill="1" applyBorder="1" applyAlignment="1">
      <alignment horizontal="center" vertical="center"/>
    </xf>
    <xf numFmtId="166" fontId="1" fillId="6" borderId="14" xfId="0" applyNumberFormat="1" applyFont="1" applyFill="1" applyBorder="1" applyAlignment="1">
      <alignment horizontal="center" vertical="center"/>
    </xf>
    <xf numFmtId="166" fontId="1" fillId="2" borderId="9" xfId="0" applyNumberFormat="1" applyFont="1" applyFill="1" applyBorder="1" applyAlignment="1">
      <alignment horizontal="center" vertical="center"/>
    </xf>
    <xf numFmtId="166" fontId="1" fillId="2" borderId="0" xfId="0" applyNumberFormat="1" applyFont="1" applyFill="1" applyBorder="1" applyAlignment="1">
      <alignment horizontal="center" vertical="center"/>
    </xf>
    <xf numFmtId="166" fontId="1" fillId="2" borderId="14" xfId="0" applyNumberFormat="1" applyFont="1" applyFill="1" applyBorder="1" applyAlignment="1">
      <alignment horizontal="center" vertical="center"/>
    </xf>
    <xf numFmtId="166" fontId="1" fillId="6" borderId="11" xfId="0" applyNumberFormat="1" applyFont="1" applyFill="1" applyBorder="1" applyAlignment="1">
      <alignment horizontal="center" vertical="center"/>
    </xf>
    <xf numFmtId="166" fontId="1" fillId="6" borderId="12" xfId="0" applyNumberFormat="1" applyFont="1" applyFill="1" applyBorder="1" applyAlignment="1">
      <alignment horizontal="center" vertical="center"/>
    </xf>
    <xf numFmtId="166" fontId="1" fillId="6" borderId="15" xfId="0" applyNumberFormat="1" applyFont="1" applyFill="1" applyBorder="1" applyAlignment="1">
      <alignment horizontal="center" vertical="center"/>
    </xf>
    <xf numFmtId="164" fontId="1" fillId="6" borderId="13" xfId="0" applyNumberFormat="1" applyFont="1" applyFill="1" applyBorder="1" applyAlignment="1">
      <alignment horizontal="center" vertical="center"/>
    </xf>
    <xf numFmtId="165" fontId="1" fillId="10" borderId="20" xfId="0" applyNumberFormat="1" applyFont="1" applyFill="1" applyBorder="1" applyAlignment="1">
      <alignment horizontal="center" vertical="center"/>
    </xf>
    <xf numFmtId="165" fontId="1" fillId="10" borderId="21" xfId="0" applyNumberFormat="1" applyFont="1" applyFill="1" applyBorder="1" applyAlignment="1">
      <alignment horizontal="center" vertical="center"/>
    </xf>
    <xf numFmtId="165" fontId="1" fillId="10" borderId="22" xfId="0" applyNumberFormat="1" applyFont="1" applyFill="1" applyBorder="1" applyAlignment="1">
      <alignment horizontal="center" vertical="center"/>
    </xf>
    <xf numFmtId="165" fontId="1" fillId="3" borderId="9" xfId="0" applyNumberFormat="1" applyFont="1" applyFill="1" applyBorder="1" applyAlignment="1">
      <alignment horizontal="center" vertical="center"/>
    </xf>
    <xf numFmtId="165" fontId="1" fillId="3" borderId="0" xfId="0" applyNumberFormat="1" applyFont="1" applyFill="1" applyBorder="1" applyAlignment="1">
      <alignment horizontal="center" vertical="center"/>
    </xf>
    <xf numFmtId="165" fontId="1" fillId="3" borderId="10" xfId="0" applyNumberFormat="1" applyFont="1" applyFill="1" applyBorder="1" applyAlignment="1">
      <alignment horizontal="center" vertical="center"/>
    </xf>
    <xf numFmtId="165" fontId="1" fillId="10" borderId="9" xfId="0" applyNumberFormat="1" applyFont="1" applyFill="1" applyBorder="1" applyAlignment="1">
      <alignment horizontal="center" vertical="center"/>
    </xf>
    <xf numFmtId="165" fontId="1" fillId="10" borderId="0" xfId="0" applyNumberFormat="1" applyFont="1" applyFill="1" applyBorder="1" applyAlignment="1">
      <alignment horizontal="center" vertical="center"/>
    </xf>
    <xf numFmtId="165" fontId="1" fillId="10" borderId="10" xfId="0" applyNumberFormat="1" applyFont="1" applyFill="1" applyBorder="1" applyAlignment="1">
      <alignment horizontal="center" vertical="center"/>
    </xf>
    <xf numFmtId="165" fontId="1" fillId="3" borderId="11" xfId="0" applyNumberFormat="1" applyFont="1" applyFill="1" applyBorder="1" applyAlignment="1">
      <alignment horizontal="center" vertical="center"/>
    </xf>
    <xf numFmtId="165" fontId="1" fillId="3" borderId="12" xfId="0" applyNumberFormat="1" applyFont="1" applyFill="1" applyBorder="1" applyAlignment="1">
      <alignment horizontal="center" vertical="center"/>
    </xf>
    <xf numFmtId="165" fontId="1" fillId="3" borderId="13" xfId="0" applyNumberFormat="1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164" fontId="1" fillId="10" borderId="22" xfId="0" applyNumberFormat="1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164" fontId="1" fillId="3" borderId="10" xfId="0" applyNumberFormat="1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164" fontId="1" fillId="10" borderId="10" xfId="0" applyNumberFormat="1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64" fontId="1" fillId="3" borderId="13" xfId="0" applyNumberFormat="1" applyFont="1" applyFill="1" applyBorder="1" applyAlignment="1">
      <alignment horizontal="center" vertical="center"/>
    </xf>
    <xf numFmtId="164" fontId="1" fillId="10" borderId="24" xfId="0" applyNumberFormat="1" applyFont="1" applyFill="1" applyBorder="1" applyAlignment="1">
      <alignment horizontal="center" vertical="center"/>
    </xf>
    <xf numFmtId="164" fontId="1" fillId="3" borderId="25" xfId="0" applyNumberFormat="1" applyFont="1" applyFill="1" applyBorder="1" applyAlignment="1">
      <alignment horizontal="center" vertical="center"/>
    </xf>
    <xf numFmtId="164" fontId="1" fillId="10" borderId="25" xfId="0" applyNumberFormat="1" applyFont="1" applyFill="1" applyBorder="1" applyAlignment="1">
      <alignment horizontal="center" vertical="center"/>
    </xf>
    <xf numFmtId="164" fontId="1" fillId="3" borderId="26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4" fontId="1" fillId="0" borderId="0" xfId="0" applyNumberFormat="1" applyFont="1" applyFill="1" applyBorder="1" applyAlignment="1">
      <alignment horizontal="center" vertical="center"/>
    </xf>
    <xf numFmtId="10" fontId="1" fillId="0" borderId="0" xfId="0" applyNumberFormat="1" applyFont="1" applyFill="1" applyBorder="1" applyAlignment="1">
      <alignment horizontal="center" vertical="center"/>
    </xf>
    <xf numFmtId="165" fontId="1" fillId="6" borderId="27" xfId="0" applyNumberFormat="1" applyFont="1" applyFill="1" applyBorder="1" applyAlignment="1">
      <alignment horizontal="center" vertical="center"/>
    </xf>
    <xf numFmtId="165" fontId="1" fillId="2" borderId="5" xfId="0" applyNumberFormat="1" applyFont="1" applyFill="1" applyBorder="1" applyAlignment="1">
      <alignment horizontal="center" vertical="center"/>
    </xf>
    <xf numFmtId="165" fontId="1" fillId="6" borderId="5" xfId="0" applyNumberFormat="1" applyFont="1" applyFill="1" applyBorder="1" applyAlignment="1">
      <alignment horizontal="center" vertical="center"/>
    </xf>
    <xf numFmtId="165" fontId="1" fillId="2" borderId="3" xfId="0" applyNumberFormat="1" applyFont="1" applyFill="1" applyBorder="1" applyAlignment="1">
      <alignment horizontal="center" vertical="center"/>
    </xf>
    <xf numFmtId="10" fontId="1" fillId="6" borderId="10" xfId="0" applyNumberFormat="1" applyFont="1" applyFill="1" applyBorder="1" applyAlignment="1">
      <alignment horizontal="center" vertical="center"/>
    </xf>
    <xf numFmtId="10" fontId="1" fillId="2" borderId="10" xfId="0" applyNumberFormat="1" applyFont="1" applyFill="1" applyBorder="1" applyAlignment="1">
      <alignment horizontal="center" vertical="center"/>
    </xf>
    <xf numFmtId="10" fontId="1" fillId="2" borderId="13" xfId="0" applyNumberFormat="1" applyFont="1" applyFill="1" applyBorder="1" applyAlignment="1">
      <alignment horizontal="center" vertical="center"/>
    </xf>
    <xf numFmtId="0" fontId="3" fillId="8" borderId="19" xfId="0" applyFont="1" applyFill="1" applyBorder="1" applyAlignment="1">
      <alignment horizontal="center" vertical="center" wrapText="1"/>
    </xf>
    <xf numFmtId="0" fontId="3" fillId="8" borderId="17" xfId="0" applyFont="1" applyFill="1" applyBorder="1" applyAlignment="1">
      <alignment horizontal="center" vertical="center" wrapText="1"/>
    </xf>
    <xf numFmtId="164" fontId="1" fillId="6" borderId="0" xfId="0" applyNumberFormat="1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horizontal="center" vertical="center"/>
    </xf>
    <xf numFmtId="164" fontId="1" fillId="6" borderId="12" xfId="0" applyNumberFormat="1" applyFont="1" applyFill="1" applyBorder="1" applyAlignment="1">
      <alignment horizontal="center" vertical="center"/>
    </xf>
    <xf numFmtId="164" fontId="1" fillId="6" borderId="29" xfId="0" applyNumberFormat="1" applyFont="1" applyFill="1" applyBorder="1" applyAlignment="1">
      <alignment horizontal="center" vertical="center"/>
    </xf>
    <xf numFmtId="164" fontId="1" fillId="6" borderId="21" xfId="0" applyNumberFormat="1" applyFont="1" applyFill="1" applyBorder="1" applyAlignment="1">
      <alignment horizontal="center" vertical="center"/>
    </xf>
    <xf numFmtId="164" fontId="1" fillId="6" borderId="22" xfId="0" applyNumberFormat="1" applyFont="1" applyFill="1" applyBorder="1" applyAlignment="1">
      <alignment horizontal="center" vertical="center"/>
    </xf>
    <xf numFmtId="164" fontId="1" fillId="2" borderId="30" xfId="0" applyNumberFormat="1" applyFont="1" applyFill="1" applyBorder="1" applyAlignment="1">
      <alignment horizontal="center" vertical="center"/>
    </xf>
    <xf numFmtId="164" fontId="1" fillId="6" borderId="31" xfId="0" applyNumberFormat="1" applyFont="1" applyFill="1" applyBorder="1" applyAlignment="1">
      <alignment horizontal="center" vertical="center"/>
    </xf>
    <xf numFmtId="0" fontId="5" fillId="8" borderId="28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2" fillId="8" borderId="18" xfId="0" applyFont="1" applyFill="1" applyBorder="1" applyAlignment="1">
      <alignment horizontal="center" vertical="center"/>
    </xf>
    <xf numFmtId="0" fontId="2" fillId="8" borderId="19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 wrapText="1"/>
    </xf>
    <xf numFmtId="0" fontId="3" fillId="11" borderId="2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ridge"/>
  <dimension ref="B1:W21"/>
  <sheetViews>
    <sheetView showGridLines="0" tabSelected="1" zoomScaleNormal="100" workbookViewId="0">
      <selection activeCell="B21" sqref="B21"/>
    </sheetView>
  </sheetViews>
  <sheetFormatPr defaultRowHeight="12.75" x14ac:dyDescent="0.25"/>
  <cols>
    <col min="1" max="1" width="1.85546875" style="1" customWidth="1"/>
    <col min="2" max="2" width="11" style="1" customWidth="1"/>
    <col min="3" max="6" width="7.42578125" style="1" bestFit="1" customWidth="1"/>
    <col min="7" max="7" width="8.42578125" style="1" bestFit="1" customWidth="1"/>
    <col min="8" max="11" width="7.42578125" style="1" bestFit="1" customWidth="1"/>
    <col min="12" max="12" width="10.140625" style="1" customWidth="1"/>
    <col min="13" max="14" width="7.42578125" style="1" bestFit="1" customWidth="1"/>
    <col min="15" max="15" width="3.7109375" style="1" bestFit="1" customWidth="1"/>
    <col min="16" max="16" width="5.42578125" style="1" bestFit="1" customWidth="1"/>
    <col min="17" max="18" width="7.42578125" style="1" bestFit="1" customWidth="1"/>
    <col min="19" max="19" width="8.42578125" style="1" bestFit="1" customWidth="1"/>
    <col min="20" max="20" width="7.7109375" style="1" bestFit="1" customWidth="1"/>
    <col min="21" max="23" width="7.85546875" style="1" bestFit="1" customWidth="1"/>
    <col min="24" max="16384" width="9.140625" style="1"/>
  </cols>
  <sheetData>
    <row r="1" spans="2:23" ht="13.5" thickBot="1" x14ac:dyDescent="0.3"/>
    <row r="2" spans="2:23" x14ac:dyDescent="0.25">
      <c r="B2" s="2" t="s">
        <v>1</v>
      </c>
      <c r="C2" s="3" t="s">
        <v>2</v>
      </c>
      <c r="D2" s="55"/>
      <c r="Q2" s="54"/>
      <c r="R2" s="54"/>
      <c r="S2" s="54"/>
      <c r="T2" s="54"/>
    </row>
    <row r="3" spans="2:23" ht="13.5" thickBot="1" x14ac:dyDescent="0.3">
      <c r="B3" s="4" t="s">
        <v>0</v>
      </c>
      <c r="C3" s="5">
        <v>9090</v>
      </c>
      <c r="D3" s="55"/>
      <c r="R3" s="54"/>
      <c r="S3" s="54"/>
      <c r="T3" s="54"/>
    </row>
    <row r="4" spans="2:23" ht="13.5" thickBot="1" x14ac:dyDescent="0.3">
      <c r="D4" s="56"/>
    </row>
    <row r="5" spans="2:23" ht="38.25" x14ac:dyDescent="0.25">
      <c r="B5" s="85" t="s">
        <v>7</v>
      </c>
      <c r="C5" s="86"/>
      <c r="D5" s="57"/>
      <c r="E5" s="6" t="s">
        <v>14</v>
      </c>
      <c r="F5" s="84" t="s">
        <v>6</v>
      </c>
      <c r="G5" s="81"/>
      <c r="H5" s="81"/>
      <c r="I5" s="81"/>
      <c r="J5" s="81"/>
      <c r="K5" s="82"/>
      <c r="L5" s="67" t="s">
        <v>15</v>
      </c>
      <c r="N5" s="80" t="s">
        <v>16</v>
      </c>
      <c r="O5" s="81"/>
      <c r="P5" s="81"/>
      <c r="Q5" s="81"/>
      <c r="R5" s="81"/>
      <c r="S5" s="82"/>
      <c r="T5" s="68" t="s">
        <v>17</v>
      </c>
      <c r="U5" s="77" t="s">
        <v>23</v>
      </c>
      <c r="V5" s="78"/>
      <c r="W5" s="79"/>
    </row>
    <row r="6" spans="2:23" x14ac:dyDescent="0.25">
      <c r="B6" s="7" t="s">
        <v>3</v>
      </c>
      <c r="C6" s="10">
        <v>1</v>
      </c>
      <c r="D6" s="58"/>
      <c r="E6" s="60" t="s">
        <v>8</v>
      </c>
      <c r="F6" s="13">
        <v>2.7299999999999998E-3</v>
      </c>
      <c r="G6" s="13">
        <v>2.0799999999999998E-3</v>
      </c>
      <c r="H6" s="13">
        <v>1.5900000000000001E-3</v>
      </c>
      <c r="I6" s="13">
        <v>4.8999999999999998E-4</v>
      </c>
      <c r="J6" s="13">
        <v>1.17E-3</v>
      </c>
      <c r="K6" s="14">
        <v>7.1000000000000002E-4</v>
      </c>
      <c r="L6" s="64">
        <v>0.2535</v>
      </c>
      <c r="N6" s="20">
        <v>0</v>
      </c>
      <c r="O6" s="21">
        <v>0</v>
      </c>
      <c r="P6" s="21">
        <v>-1</v>
      </c>
      <c r="Q6" s="21">
        <v>0</v>
      </c>
      <c r="R6" s="21">
        <v>1</v>
      </c>
      <c r="S6" s="22">
        <v>0</v>
      </c>
      <c r="T6" s="69">
        <v>2.0000000000000001E-4</v>
      </c>
      <c r="U6" s="72">
        <v>7.5000000000000002E-4</v>
      </c>
      <c r="V6" s="73">
        <v>-5.2999999999999998E-4</v>
      </c>
      <c r="W6" s="74">
        <v>-3.3E-4</v>
      </c>
    </row>
    <row r="7" spans="2:23" x14ac:dyDescent="0.25">
      <c r="B7" s="9" t="s">
        <v>4</v>
      </c>
      <c r="C7" s="12">
        <v>2.6</v>
      </c>
      <c r="D7" s="58"/>
      <c r="E7" s="61" t="s">
        <v>9</v>
      </c>
      <c r="F7" s="15">
        <v>2.0799999999999998E-3</v>
      </c>
      <c r="G7" s="15">
        <v>2.7699999999999999E-3</v>
      </c>
      <c r="H7" s="15">
        <v>1.2999999999999999E-3</v>
      </c>
      <c r="I7" s="15">
        <v>4.6000000000000001E-4</v>
      </c>
      <c r="J7" s="15">
        <v>1.1100000000000001E-3</v>
      </c>
      <c r="K7" s="16">
        <v>5.5999999999999995E-4</v>
      </c>
      <c r="L7" s="65">
        <v>0.1343</v>
      </c>
      <c r="N7" s="23">
        <v>0</v>
      </c>
      <c r="O7" s="24">
        <v>1</v>
      </c>
      <c r="P7" s="24">
        <v>0</v>
      </c>
      <c r="Q7" s="24">
        <v>0</v>
      </c>
      <c r="R7" s="24">
        <v>-1</v>
      </c>
      <c r="S7" s="25">
        <v>0</v>
      </c>
      <c r="T7" s="70">
        <v>2.9999999999999997E-4</v>
      </c>
      <c r="U7" s="75">
        <v>-5.2999999999999998E-4</v>
      </c>
      <c r="V7" s="70">
        <v>1.9499999999999999E-3</v>
      </c>
      <c r="W7" s="17">
        <v>1.1000000000000001E-3</v>
      </c>
    </row>
    <row r="8" spans="2:23" ht="13.5" thickBot="1" x14ac:dyDescent="0.3">
      <c r="B8" s="8" t="s">
        <v>5</v>
      </c>
      <c r="C8" s="11">
        <v>0</v>
      </c>
      <c r="D8" s="59"/>
      <c r="E8" s="62" t="s">
        <v>10</v>
      </c>
      <c r="F8" s="13">
        <v>1.5900000000000001E-3</v>
      </c>
      <c r="G8" s="13">
        <v>1.2999999999999999E-3</v>
      </c>
      <c r="H8" s="13">
        <v>1.4599999999999999E-3</v>
      </c>
      <c r="I8" s="13">
        <v>6.4000000000000005E-4</v>
      </c>
      <c r="J8" s="13">
        <v>1.0499999999999999E-3</v>
      </c>
      <c r="K8" s="14">
        <v>5.1999999999999995E-4</v>
      </c>
      <c r="L8" s="64">
        <v>0.1265</v>
      </c>
      <c r="N8" s="26">
        <v>-1</v>
      </c>
      <c r="O8" s="27">
        <v>1</v>
      </c>
      <c r="P8" s="27">
        <v>1</v>
      </c>
      <c r="Q8" s="27">
        <v>0</v>
      </c>
      <c r="R8" s="27">
        <v>0</v>
      </c>
      <c r="S8" s="28">
        <v>-1</v>
      </c>
      <c r="T8" s="71">
        <v>1E-4</v>
      </c>
      <c r="U8" s="76">
        <v>-3.3E-4</v>
      </c>
      <c r="V8" s="71">
        <v>1.1000000000000001E-3</v>
      </c>
      <c r="W8" s="29">
        <v>2.1700000000000001E-3</v>
      </c>
    </row>
    <row r="9" spans="2:23" x14ac:dyDescent="0.25">
      <c r="E9" s="61" t="s">
        <v>11</v>
      </c>
      <c r="F9" s="15">
        <v>4.8999999999999998E-4</v>
      </c>
      <c r="G9" s="15">
        <v>4.6000000000000001E-4</v>
      </c>
      <c r="H9" s="15">
        <v>6.4000000000000005E-4</v>
      </c>
      <c r="I9" s="15">
        <v>6.0999999999999997E-4</v>
      </c>
      <c r="J9" s="15">
        <v>6.6E-4</v>
      </c>
      <c r="K9" s="16">
        <v>3.6999999999999999E-4</v>
      </c>
      <c r="L9" s="65">
        <v>0.13750000000000001</v>
      </c>
    </row>
    <row r="10" spans="2:23" x14ac:dyDescent="0.25">
      <c r="E10" s="62" t="s">
        <v>12</v>
      </c>
      <c r="F10" s="13">
        <v>1.17E-3</v>
      </c>
      <c r="G10" s="13">
        <v>1.1100000000000001E-3</v>
      </c>
      <c r="H10" s="13">
        <v>1.0499999999999999E-3</v>
      </c>
      <c r="I10" s="13">
        <v>6.6E-4</v>
      </c>
      <c r="J10" s="13">
        <v>1.39E-3</v>
      </c>
      <c r="K10" s="14">
        <v>6.6E-4</v>
      </c>
      <c r="L10" s="64">
        <v>7.3300000000000004E-2</v>
      </c>
    </row>
    <row r="11" spans="2:23" ht="13.5" thickBot="1" x14ac:dyDescent="0.3">
      <c r="E11" s="63" t="s">
        <v>13</v>
      </c>
      <c r="F11" s="18">
        <v>7.1000000000000002E-4</v>
      </c>
      <c r="G11" s="18">
        <v>5.5999999999999995E-4</v>
      </c>
      <c r="H11" s="18">
        <v>5.1999999999999995E-4</v>
      </c>
      <c r="I11" s="18">
        <v>3.6999999999999999E-4</v>
      </c>
      <c r="J11" s="18">
        <v>6.6E-4</v>
      </c>
      <c r="K11" s="19">
        <v>6.9999999999999999E-4</v>
      </c>
      <c r="L11" s="66">
        <v>0.27489999999999998</v>
      </c>
    </row>
    <row r="12" spans="2:23" ht="13.5" thickBot="1" x14ac:dyDescent="0.3"/>
    <row r="13" spans="2:23" ht="25.5" x14ac:dyDescent="0.25">
      <c r="B13" s="80" t="s">
        <v>18</v>
      </c>
      <c r="C13" s="81"/>
      <c r="D13" s="81"/>
      <c r="E13" s="81"/>
      <c r="F13" s="81"/>
      <c r="G13" s="83"/>
      <c r="I13" s="80" t="s">
        <v>19</v>
      </c>
      <c r="J13" s="81"/>
      <c r="K13" s="81"/>
      <c r="L13" s="81"/>
      <c r="M13" s="81"/>
      <c r="N13" s="83"/>
      <c r="P13" s="42" t="s">
        <v>14</v>
      </c>
      <c r="Q13" s="88" t="s">
        <v>21</v>
      </c>
      <c r="R13" s="88" t="s">
        <v>20</v>
      </c>
      <c r="S13" s="87" t="s">
        <v>22</v>
      </c>
    </row>
    <row r="14" spans="2:23" x14ac:dyDescent="0.25">
      <c r="B14" s="30">
        <f t="array" ref="B14:G19">JSONDoubleGrid(B21,"JointExcessReturnsCovariance",6,6)</f>
        <v>2.4652462694043859E-3</v>
      </c>
      <c r="C14" s="31">
        <v>1.7761461874425805E-3</v>
      </c>
      <c r="D14" s="31">
        <v>1.5294393703199835E-3</v>
      </c>
      <c r="E14" s="31">
        <v>5.6495294599172123E-4</v>
      </c>
      <c r="F14" s="31">
        <v>1.3199095028163508E-3</v>
      </c>
      <c r="G14" s="32">
        <v>7.2413935558258589E-4</v>
      </c>
      <c r="I14" s="30">
        <f t="array" ref="I14:N19">JSONDoubleGrid(B21,"PosteriorExcessReturnsCovariance",6,6)</f>
        <v>5.1952462694043857E-3</v>
      </c>
      <c r="J14" s="31">
        <v>3.8561461874425801E-3</v>
      </c>
      <c r="K14" s="31">
        <v>3.1194393703199842E-3</v>
      </c>
      <c r="L14" s="31">
        <v>1.0549529459917212E-3</v>
      </c>
      <c r="M14" s="31">
        <v>2.4899095028163508E-3</v>
      </c>
      <c r="N14" s="32">
        <v>1.434139355582586E-3</v>
      </c>
      <c r="P14" s="30" t="str">
        <f>E6</f>
        <v>A</v>
      </c>
      <c r="Q14" s="50">
        <f t="array" ref="Q14:Q19">JSONDoubleArray(B21,"ScopingExpectedExcessReturns",6)</f>
        <v>3.9542073999999997E-3</v>
      </c>
      <c r="R14" s="50">
        <f t="array" ref="R14:R19">JSONDoubleArray(B21,"PriorExpectedExcessReturn",6)</f>
        <v>3.9542073999999997E-3</v>
      </c>
      <c r="S14" s="43">
        <f t="array" ref="S14:S19">JSONDoubleArray(B21,"PosteriorExpectedExcessReturn",6)</f>
        <v>3.7547679615191789E-3</v>
      </c>
    </row>
    <row r="15" spans="2:23" x14ac:dyDescent="0.25">
      <c r="B15" s="33">
        <v>1.7761461874425809E-3</v>
      </c>
      <c r="C15" s="34">
        <v>1.9235608242410016E-3</v>
      </c>
      <c r="D15" s="34">
        <v>1.1873892447101845E-3</v>
      </c>
      <c r="E15" s="34">
        <v>4.9592484133364394E-4</v>
      </c>
      <c r="F15" s="34">
        <v>1.09158032684193E-3</v>
      </c>
      <c r="G15" s="35">
        <v>6.2172954861511418E-4</v>
      </c>
      <c r="I15" s="33">
        <v>3.856146187442581E-3</v>
      </c>
      <c r="J15" s="34">
        <v>4.6935608242410012E-3</v>
      </c>
      <c r="K15" s="34">
        <v>2.4873892447101844E-3</v>
      </c>
      <c r="L15" s="34">
        <v>9.5592484133364395E-4</v>
      </c>
      <c r="M15" s="34">
        <v>2.2015803268419301E-3</v>
      </c>
      <c r="N15" s="35">
        <v>1.1817295486151139E-3</v>
      </c>
      <c r="P15" s="44" t="str">
        <f t="shared" ref="P15:P19" si="0">E7</f>
        <v>B</v>
      </c>
      <c r="Q15" s="51">
        <v>3.5419748000000001E-3</v>
      </c>
      <c r="R15" s="51">
        <v>3.5419748000000001E-3</v>
      </c>
      <c r="S15" s="45">
        <v>3.2422389012201169E-3</v>
      </c>
    </row>
    <row r="16" spans="2:23" x14ac:dyDescent="0.25">
      <c r="B16" s="36">
        <v>1.5294393703199835E-3</v>
      </c>
      <c r="C16" s="37">
        <v>1.1873892447101838E-3</v>
      </c>
      <c r="D16" s="37">
        <v>1.2686902490072803E-3</v>
      </c>
      <c r="E16" s="37">
        <v>5.871012294954459E-4</v>
      </c>
      <c r="F16" s="37">
        <v>1.0628938500608499E-3</v>
      </c>
      <c r="G16" s="38">
        <v>6.0105837410622638E-4</v>
      </c>
      <c r="I16" s="36">
        <v>3.1194393703199842E-3</v>
      </c>
      <c r="J16" s="37">
        <v>2.487389244710184E-3</v>
      </c>
      <c r="K16" s="37">
        <v>2.7286902490072803E-3</v>
      </c>
      <c r="L16" s="37">
        <v>1.2271012294954461E-3</v>
      </c>
      <c r="M16" s="37">
        <v>2.1128938500608501E-3</v>
      </c>
      <c r="N16" s="38">
        <v>1.1210583741062263E-3</v>
      </c>
      <c r="P16" s="46" t="str">
        <f t="shared" si="0"/>
        <v>C</v>
      </c>
      <c r="Q16" s="52">
        <v>2.7826707999999999E-3</v>
      </c>
      <c r="R16" s="52">
        <v>2.7826707999999999E-3</v>
      </c>
      <c r="S16" s="47">
        <v>2.612519478523445E-3</v>
      </c>
    </row>
    <row r="17" spans="2:19" x14ac:dyDescent="0.25">
      <c r="B17" s="33">
        <v>5.6495294599172091E-4</v>
      </c>
      <c r="C17" s="34">
        <v>4.9592484133364329E-4</v>
      </c>
      <c r="D17" s="34">
        <v>5.8710122949544557E-4</v>
      </c>
      <c r="E17" s="34">
        <v>5.5888731705198828E-4</v>
      </c>
      <c r="F17" s="34">
        <v>5.9653468912814584E-4</v>
      </c>
      <c r="G17" s="35">
        <v>3.9852087358904889E-4</v>
      </c>
      <c r="I17" s="33">
        <v>1.0549529459917208E-3</v>
      </c>
      <c r="J17" s="34">
        <v>9.5592484133364319E-4</v>
      </c>
      <c r="K17" s="34">
        <v>1.2271012294954456E-3</v>
      </c>
      <c r="L17" s="34">
        <v>1.1688873170519884E-3</v>
      </c>
      <c r="M17" s="34">
        <v>1.2565346891281455E-3</v>
      </c>
      <c r="N17" s="35">
        <v>7.6852087358904894E-4</v>
      </c>
      <c r="P17" s="44" t="str">
        <f t="shared" si="0"/>
        <v>D</v>
      </c>
      <c r="Q17" s="51">
        <v>1.3023894000000005E-3</v>
      </c>
      <c r="R17" s="51">
        <v>1.3023894000000005E-3</v>
      </c>
      <c r="S17" s="45">
        <v>1.3069419983213332E-3</v>
      </c>
    </row>
    <row r="18" spans="2:19" x14ac:dyDescent="0.25">
      <c r="B18" s="36">
        <v>1.3199095028163508E-3</v>
      </c>
      <c r="C18" s="37">
        <v>1.0915803268419292E-3</v>
      </c>
      <c r="D18" s="37">
        <v>1.0628938500608499E-3</v>
      </c>
      <c r="E18" s="37">
        <v>5.9653468912814606E-4</v>
      </c>
      <c r="F18" s="37">
        <v>1.2320893961531661E-3</v>
      </c>
      <c r="G18" s="38">
        <v>6.714913157075008E-4</v>
      </c>
      <c r="I18" s="36">
        <v>2.4899095028163508E-3</v>
      </c>
      <c r="J18" s="37">
        <v>2.2015803268419292E-3</v>
      </c>
      <c r="K18" s="37">
        <v>2.1128938500608501E-3</v>
      </c>
      <c r="L18" s="37">
        <v>1.2565346891281462E-3</v>
      </c>
      <c r="M18" s="37">
        <v>2.622089396153166E-3</v>
      </c>
      <c r="N18" s="38">
        <v>1.3314913157075007E-3</v>
      </c>
      <c r="P18" s="46" t="str">
        <f t="shared" si="0"/>
        <v>E</v>
      </c>
      <c r="Q18" s="52">
        <v>2.4766664000000003E-3</v>
      </c>
      <c r="R18" s="52">
        <v>2.4766664000000003E-3</v>
      </c>
      <c r="S18" s="47">
        <v>2.5591430386038955E-3</v>
      </c>
    </row>
    <row r="19" spans="2:19" ht="13.5" thickBot="1" x14ac:dyDescent="0.3">
      <c r="B19" s="39">
        <v>7.2413935558258589E-4</v>
      </c>
      <c r="C19" s="40">
        <v>6.2172954861511374E-4</v>
      </c>
      <c r="D19" s="40">
        <v>6.0105837410622638E-4</v>
      </c>
      <c r="E19" s="40">
        <v>3.9852087358904922E-4</v>
      </c>
      <c r="F19" s="40">
        <v>6.714913157075008E-4</v>
      </c>
      <c r="G19" s="41">
        <v>6.6366303543164058E-4</v>
      </c>
      <c r="I19" s="39">
        <v>1.434139355582586E-3</v>
      </c>
      <c r="J19" s="40">
        <v>1.1817295486151137E-3</v>
      </c>
      <c r="K19" s="40">
        <v>1.1210583741062263E-3</v>
      </c>
      <c r="L19" s="40">
        <v>7.6852087358904916E-4</v>
      </c>
      <c r="M19" s="40">
        <v>1.3314913157075007E-3</v>
      </c>
      <c r="N19" s="41">
        <v>1.3636630354316405E-3</v>
      </c>
      <c r="P19" s="48" t="str">
        <f t="shared" si="0"/>
        <v>F</v>
      </c>
      <c r="Q19" s="53">
        <v>1.5929055999999999E-3</v>
      </c>
      <c r="R19" s="53">
        <v>1.5929055999999999E-3</v>
      </c>
      <c r="S19" s="49">
        <v>1.6603859556911975E-3</v>
      </c>
    </row>
    <row r="21" spans="2:19" x14ac:dyDescent="0.25">
      <c r="B21" s="1" t="str">
        <f>BlackLittermanAPI(C6,C7,C8,E6:E11,L6:L11,F6:K11,N6:S8,T6:T8,U6:W8)</f>
        <v>{"ScopingExpectedExcessReturns":[0.0039542074,0.0035419748,0.0027826708,0.0013023894000000003,0.0024766664000000003,0.0015929056000000001],"ScopingExcessReturnsCovariance":[[0.00273,0.00208,0.00159,4.9E-4,0.00117,7.1E-4],[0.00208,0.00277,0.0013,4.6E-4,0.00111,5.6E-4],[0.00159,0.0013,0.00146,6.4E-4,0.00105,5.2E-4],[4.9E-4,4.6E-4,6.4E-4,6.1E-4,6.6E-4,3.7E-4],[0.00117,0.00111,0.00105,6.6E-4,0.00139,6.6E-4],[7.1E-4,5.6E-4,5.2E-4,3.7E-4,6.6E-4,7.0E-4]],"Tau":1.0,"ViewScopingProjectionLoading":[[0.0,0.0,-1.0,0.0,1.0,0.0],[0.0,1.0,0.0,0.0,-1.0,0.0],[-1.0,1.0,1.0,0.0,0.0,-1.0]],"REQUESTTIMESTAMP":null,"RiskFreeRate":0.0,"APITYPE":"RESPONSE","RESPONSEID":"621d0fa7-0616-4335-a6fe-dfc6e1da23a2","PriorExpectedExcessReturn":[0.0039542074,0.0035419748,0.0027826708,0.0013023894000000003,0.0024766664000000003,0.0015929056000000001],"Delta":2.6,"PosteriorExpectedExcessReturn":[0.003754767961519179,0.003242238901220117,0.002612519478523445,0.0013069419983213332,0.0025591430386038955,0.0016603859556911975],"ProjectionExpectedExcessReturns":[2.0E-4,3.0E-4,1.0E-4],"RESPONSETIMESTAMP":"Wed Jul 13 20:15:27 EDT 2016","JointExcessReturnsCovariance":[[0.002465246269404386,0.0017761461874425803,0.0015294393703199837,5.649529459917212E-4,0.0013199095028163508,7.241393555825859E-4],[0.001776146187442581,0.0019235608242410018,0.0011873892447101845,4.959248413336439E-4,0.00109158032684193,6.217295486151142E-4],[0.0015294393703199835,0.0011873892447101838,0.0012686902490072803,5.871012294954459E-4,0.00106289385006085,6.010583741062264E-4],[5.649529459917209E-4,4.959248413336433E-4,5.871012294954456E-4,5.588873170519883E-4,5.965346891281458E-4,3.985208735890489E-4],[0.0013199095028163508,0.0010915803268419292,0.0010628938500608501,5.965346891281461E-4,0.001232089396153166,6.714913157075008E-4],[7.241393555825859E-4,6.217295486151137E-4,6.010583741062264E-4,3.985208735890492E-4,6.714913157075008E-4,6.636630354316406E-4]],"PosteriorExcessReturnsCovariance":[[0.005195246269404386,0.00385614618744258,0.0031194393703199838,0.0010549529459917212,0.002489909502816351,0.001434139355582586],[0.003856146187442581,0.004693560824241001,0.0024873892447101844,9.55924841333644E-4,0.00220158032684193,0.0011817295486151141],[0.0031194393703199838,0.002487389244710184,0.0027286902490072803,0.001227101229495446,0.00211289385006085,0.0011210583741062263],[0.0010549529459917208,9.559248413336433E-4,0.0012271012294954456,0.0011688873170519884,0.0012565346891281457,7.685208735890489E-4],[0.002489909502816351,0.0022015803268419292,0.00211289385006085,0.0012565346891281462,0.002622089396153166,0.0013314913157075007],[0.001434139355582586,0.0011817295486151137,0.0011210583741062263,7.685208735890492E-4,0.0013314913157075007,0.0013636630354316405]],"REQUESTID":null,"ScopingSet":["A","B","C","D","E","F"]}</v>
      </c>
    </row>
  </sheetData>
  <mergeCells count="6">
    <mergeCell ref="U5:W5"/>
    <mergeCell ref="N5:S5"/>
    <mergeCell ref="B13:G13"/>
    <mergeCell ref="F5:K5"/>
    <mergeCell ref="I13:N13"/>
    <mergeCell ref="B5:C5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Bridge</vt:lpstr>
      <vt:lpstr>Bridge!HOSTNAME</vt:lpstr>
      <vt:lpstr>Bridge!PORTNUMBER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Spooky</dc:creator>
  <cp:lastModifiedBy>Spooky</cp:lastModifiedBy>
  <dcterms:created xsi:type="dcterms:W3CDTF">2016-07-06T14:59:55Z</dcterms:created>
  <dcterms:modified xsi:type="dcterms:W3CDTF">2016-07-14T00:16:37Z</dcterms:modified>
</cp:coreProperties>
</file>